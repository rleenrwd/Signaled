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bert Norwood\Downloads\"/>
    </mc:Choice>
  </mc:AlternateContent>
  <xr:revisionPtr revIDLastSave="0" documentId="13_ncr:1_{B4E265CE-5450-4D0F-9EC2-5B74E5547E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st Cases" sheetId="1" r:id="rId1"/>
    <sheet name="Summary" sheetId="2" r:id="rId2"/>
    <sheet name="Coverage" sheetId="3" r:id="rId3"/>
  </sheets>
  <definedNames>
    <definedName name="_xlnm._FilterDatabase" localSheetId="0" hidden="1">'Test Cases'!$A$5:$M$41</definedName>
  </definedNames>
  <calcPr calcId="181029"/>
</workbook>
</file>

<file path=xl/calcChain.xml><?xml version="1.0" encoding="utf-8"?>
<calcChain xmlns="http://schemas.openxmlformats.org/spreadsheetml/2006/main">
  <c r="C14" i="3" l="1"/>
  <c r="C13" i="3"/>
  <c r="C12" i="3"/>
  <c r="C11" i="3"/>
  <c r="C10" i="3"/>
  <c r="C9" i="3"/>
  <c r="C8" i="3"/>
  <c r="C7" i="3"/>
  <c r="C6" i="3"/>
  <c r="C5" i="3"/>
  <c r="B9" i="2"/>
  <c r="B8" i="2"/>
  <c r="B7" i="2"/>
  <c r="B6" i="2"/>
  <c r="B5" i="2"/>
  <c r="B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This spreadsheet is intentionally mapped to the Signaled Test Plan so each in-scope test area is covered.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Coverage counts are formula-driven based on the Test Cases sheet.</t>
        </r>
      </text>
    </comment>
  </commentList>
</comments>
</file>

<file path=xl/sharedStrings.xml><?xml version="1.0" encoding="utf-8"?>
<sst xmlns="http://schemas.openxmlformats.org/spreadsheetml/2006/main" count="506" uniqueCount="293">
  <si>
    <t>Signaled — Test Cases (V1)</t>
  </si>
  <si>
    <t>Coverage</t>
  </si>
  <si>
    <t>Built to fully cover the in-scope areas and test types defined in the Test Plan.</t>
  </si>
  <si>
    <t>Status Legend</t>
  </si>
  <si>
    <t>Not Run</t>
  </si>
  <si>
    <t>Default</t>
  </si>
  <si>
    <t>Pass</t>
  </si>
  <si>
    <t>Completed successfully</t>
  </si>
  <si>
    <t>Test Case ID</t>
  </si>
  <si>
    <t>Test Plan Area</t>
  </si>
  <si>
    <t>Test Objective</t>
  </si>
  <si>
    <t>Test Type</t>
  </si>
  <si>
    <t>Priority</t>
  </si>
  <si>
    <t>Role</t>
  </si>
  <si>
    <t>Preconditions</t>
  </si>
  <si>
    <t>Test Scenario</t>
  </si>
  <si>
    <t>Steps</t>
  </si>
  <si>
    <t>Expected Result</t>
  </si>
  <si>
    <t>API / Screen</t>
  </si>
  <si>
    <t>Status</t>
  </si>
  <si>
    <t>Notes</t>
  </si>
  <si>
    <t>TC-001</t>
  </si>
  <si>
    <t>Authentication &amp; Authorization</t>
  </si>
  <si>
    <t>Validate successful authentication</t>
  </si>
  <si>
    <t>Security</t>
  </si>
  <si>
    <t>High</t>
  </si>
  <si>
    <t>Admin</t>
  </si>
  <si>
    <t>Valid Admin account exists</t>
  </si>
  <si>
    <t>Login with valid Admin credentials</t>
  </si>
  <si>
    <t>1. Open login screen
2. Enter valid Admin email/password
3. Submit</t>
  </si>
  <si>
    <t>JWT bearer token is issued and authenticated session is established</t>
  </si>
  <si>
    <t>POST /api/auth/login</t>
  </si>
  <si>
    <t>TC-002</t>
  </si>
  <si>
    <t>Reject invalid credentials</t>
  </si>
  <si>
    <t>Analyst</t>
  </si>
  <si>
    <t>Account exists</t>
  </si>
  <si>
    <t>Login with invalid password</t>
  </si>
  <si>
    <t>1. Open login screen
2. Enter valid email and invalid password
3. Submit</t>
  </si>
  <si>
    <t>Request returns 401 Unauthorized and no token is issued</t>
  </si>
  <si>
    <t>TC-003</t>
  </si>
  <si>
    <t>Block unauthenticated access</t>
  </si>
  <si>
    <t>Viewer</t>
  </si>
  <si>
    <t>No token provided</t>
  </si>
  <si>
    <t>Call protected endpoint without token</t>
  </si>
  <si>
    <t>1. Call GET /api/events with no Authorization header</t>
  </si>
  <si>
    <t>Request returns 401 Unauthorized</t>
  </si>
  <si>
    <t>GET /api/events</t>
  </si>
  <si>
    <t>TC-004</t>
  </si>
  <si>
    <t>Enforce Viewer restrictions</t>
  </si>
  <si>
    <t>Viewer token valid</t>
  </si>
  <si>
    <t>Viewer attempts dataset upload</t>
  </si>
  <si>
    <t>1. Authenticate as Viewer
2. Submit POST /api/ingestion/upload</t>
  </si>
  <si>
    <t>Request returns 403 Forbidden</t>
  </si>
  <si>
    <t>POST /api/ingestion/upload</t>
  </si>
  <si>
    <t>TC-005</t>
  </si>
  <si>
    <t>Enforce Analyst/Admin-only case creation</t>
  </si>
  <si>
    <t>Viewer attempts to create case</t>
  </si>
  <si>
    <t>1. Authenticate as Viewer
2. Submit POST /api/cases</t>
  </si>
  <si>
    <t>POST /api/cases</t>
  </si>
  <si>
    <t>TC-006</t>
  </si>
  <si>
    <t>Return current authenticated user</t>
  </si>
  <si>
    <t>API</t>
  </si>
  <si>
    <t>Medium</t>
  </si>
  <si>
    <t>Analyst token valid</t>
  </si>
  <si>
    <t>Call current user endpoint</t>
  </si>
  <si>
    <t>1. Authenticate as Analyst
2. Call GET /api/auth/me</t>
  </si>
  <si>
    <t>Authenticated user profile and roles are returned</t>
  </si>
  <si>
    <t>GET /api/auth/me</t>
  </si>
  <si>
    <t>TC-007</t>
  </si>
  <si>
    <t>Event Ingestion</t>
  </si>
  <si>
    <t>Ingest valid CSV records</t>
  </si>
  <si>
    <t>Functional</t>
  </si>
  <si>
    <t>Valid CSV file available</t>
  </si>
  <si>
    <t>Upload valid CSV dataset</t>
  </si>
  <si>
    <t>1. Authenticate as Analyst
2. Submit valid CSV file</t>
  </si>
  <si>
    <t>Valid rows are stored and ingestion summary is returned</t>
  </si>
  <si>
    <t>TC-008</t>
  </si>
  <si>
    <t>Ingest valid JSON records</t>
  </si>
  <si>
    <t>Valid JSON file available</t>
  </si>
  <si>
    <t>Upload valid JSON dataset</t>
  </si>
  <si>
    <t>1. Authenticate as Analyst
2. Submit valid JSON file</t>
  </si>
  <si>
    <t>JSON records are normalized and stored successfully</t>
  </si>
  <si>
    <t>TC-009</t>
  </si>
  <si>
    <t>Reject malformed JSON</t>
  </si>
  <si>
    <t>Data Validation</t>
  </si>
  <si>
    <t>Malformed JSON file available</t>
  </si>
  <si>
    <t>Upload malformed JSON dataset</t>
  </si>
  <si>
    <t>1. Authenticate as Analyst
2. Submit malformed JSON file</t>
  </si>
  <si>
    <t>Request fails validation and invalid records are not stored</t>
  </si>
  <si>
    <t>TC-010</t>
  </si>
  <si>
    <t>Reject rows missing required fields</t>
  </si>
  <si>
    <t>CSV missing required columns available</t>
  </si>
  <si>
    <t>Upload invalid CSV with missing fields</t>
  </si>
  <si>
    <t>1. Authenticate as Analyst
2. Submit invalid CSV</t>
  </si>
  <si>
    <t>Invalid rows are rejected with rejection reasons in response</t>
  </si>
  <si>
    <t>TC-011</t>
  </si>
  <si>
    <t>Reject invalid severity value</t>
  </si>
  <si>
    <t>Dataset with invalid severity available</t>
  </si>
  <si>
    <t>Upload dataset containing unsupported severity</t>
  </si>
  <si>
    <t>1. Authenticate as Analyst
2. Submit dataset</t>
  </si>
  <si>
    <t>Rows with invalid severity are rejected</t>
  </si>
  <si>
    <t>TC-012</t>
  </si>
  <si>
    <t>Normalize timestamps to UTC</t>
  </si>
  <si>
    <t>Dataset with parseable timestamps available</t>
  </si>
  <si>
    <t>Upload dataset with mixed timestamp formats</t>
  </si>
  <si>
    <t>Stored events use normalized UTC timestamps</t>
  </si>
  <si>
    <t>POST /api/ingestion/upload / DB check</t>
  </si>
  <si>
    <t>TC-013</t>
  </si>
  <si>
    <t>Event Explorer</t>
  </si>
  <si>
    <t>List stored events</t>
  </si>
  <si>
    <t>Event data exists</t>
  </si>
  <si>
    <t>View event list</t>
  </si>
  <si>
    <t>1. Authenticate as Analyst
2. Open event list</t>
  </si>
  <si>
    <t>Paginated event list is returned with default sort order</t>
  </si>
  <si>
    <t>TC-014</t>
  </si>
  <si>
    <t>Filter by severity and environment</t>
  </si>
  <si>
    <t>Event data exists across values</t>
  </si>
  <si>
    <t>Apply event filters</t>
  </si>
  <si>
    <t>1. Authenticate as Analyst
2. Filter by severity and environment</t>
  </si>
  <si>
    <t>Returned results match all selected filters</t>
  </si>
  <si>
    <t>TC-015</t>
  </si>
  <si>
    <t>Sort by timestamp descending</t>
  </si>
  <si>
    <t>Sort events by most recent</t>
  </si>
  <si>
    <t>1. Authenticate as Analyst
2. Apply sortBy=occurredAtUtc&amp;sortDir=desc</t>
  </si>
  <si>
    <t>Results return in correct descending order</t>
  </si>
  <si>
    <t>TC-016</t>
  </si>
  <si>
    <t>Paginate event list</t>
  </si>
  <si>
    <t>More than one page of events exists</t>
  </si>
  <si>
    <t>Request page 2 of events</t>
  </si>
  <si>
    <t>1. Authenticate as Analyst
2. Request page 2</t>
  </si>
  <si>
    <t>Correct page data and pagination metadata are returned</t>
  </si>
  <si>
    <t>TC-017</t>
  </si>
  <si>
    <t>Return event detail</t>
  </si>
  <si>
    <t>Specific event exists</t>
  </si>
  <si>
    <t>Open event detail</t>
  </si>
  <si>
    <t>1. Authenticate as Viewer
2. Request event by ID</t>
  </si>
  <si>
    <t>Event detail including payload/metadata is returned</t>
  </si>
  <si>
    <t>GET /api/events/{eventId}</t>
  </si>
  <si>
    <t>TC-018</t>
  </si>
  <si>
    <t>Validate invalid filter input handling</t>
  </si>
  <si>
    <t>Token valid</t>
  </si>
  <si>
    <t>Submit invalid filter values</t>
  </si>
  <si>
    <t>1. Authenticate as Analyst
2. Call events endpoint with invalid date or severity</t>
  </si>
  <si>
    <t>Request returns 400 validation error</t>
  </si>
  <si>
    <t>TC-019</t>
  </si>
  <si>
    <t>Case Management</t>
  </si>
  <si>
    <t>Create investigation case</t>
  </si>
  <si>
    <t>Create new case</t>
  </si>
  <si>
    <t>1. Authenticate as Analyst
2. Submit case with title and description</t>
  </si>
  <si>
    <t>Case is created with default OPEN status</t>
  </si>
  <si>
    <t>TC-020</t>
  </si>
  <si>
    <t>Reject case without title</t>
  </si>
  <si>
    <t>Create case with blank title</t>
  </si>
  <si>
    <t>1. Authenticate as Analyst
2. Submit case payload without title</t>
  </si>
  <si>
    <t>TC-021</t>
  </si>
  <si>
    <t>Update case metadata</t>
  </si>
  <si>
    <t>Case exists</t>
  </si>
  <si>
    <t>Update case assignment/description</t>
  </si>
  <si>
    <t>1. Authenticate as Analyst
2. Submit PUT /api/cases/{id}</t>
  </si>
  <si>
    <t>Case fields update successfully</t>
  </si>
  <si>
    <t>PUT /api/cases/{caseId}</t>
  </si>
  <si>
    <t>TC-022</t>
  </si>
  <si>
    <t>Link events to case</t>
  </si>
  <si>
    <t>Case and events exist</t>
  </si>
  <si>
    <t>Attach events to case</t>
  </si>
  <si>
    <t>1. Authenticate as Analyst
2. Submit eventIds to case</t>
  </si>
  <si>
    <t>Selected events appear on case detail</t>
  </si>
  <si>
    <t>POST /api/cases/{caseId}/events</t>
  </si>
  <si>
    <t>TC-023</t>
  </si>
  <si>
    <t>Prevent duplicate case-event links</t>
  </si>
  <si>
    <t>Case already linked to event</t>
  </si>
  <si>
    <t>Attempt to link same event twice</t>
  </si>
  <si>
    <t>1. Authenticate as Analyst
2. Re-submit existing event link</t>
  </si>
  <si>
    <t>Duplicate link is prevented gracefully</t>
  </si>
  <si>
    <t>TC-024</t>
  </si>
  <si>
    <t>Unlink event from case</t>
  </si>
  <si>
    <t>Case linked to event</t>
  </si>
  <si>
    <t>Remove link from case</t>
  </si>
  <si>
    <t>1. Authenticate as Analyst
2. Delete case-event link</t>
  </si>
  <si>
    <t>Event is removed from case only</t>
  </si>
  <si>
    <t>DELETE /api/cases/{caseId}/events/{eventId}</t>
  </si>
  <si>
    <t>TC-025</t>
  </si>
  <si>
    <t>Update case status</t>
  </si>
  <si>
    <t>Open case exists</t>
  </si>
  <si>
    <t>Transition case to INVESTIGATING</t>
  </si>
  <si>
    <t>1. Authenticate as Analyst
2. Update status</t>
  </si>
  <si>
    <t>Status changes successfully and persists</t>
  </si>
  <si>
    <t>PUT /api/cases/{caseId}/status</t>
  </si>
  <si>
    <t>TC-026</t>
  </si>
  <si>
    <t>Reject invalid status transition</t>
  </si>
  <si>
    <t>Submit invalid status value or disallowed transition</t>
  </si>
  <si>
    <t>1. Authenticate as Analyst
2. Submit invalid status update</t>
  </si>
  <si>
    <t>TC-027</t>
  </si>
  <si>
    <t>Add case note</t>
  </si>
  <si>
    <t>Add note to case</t>
  </si>
  <si>
    <t>1. Authenticate as Analyst
2. Submit note content</t>
  </si>
  <si>
    <t>Note is saved with author and timestamp</t>
  </si>
  <si>
    <t>POST /api/cases/{caseId}/notes</t>
  </si>
  <si>
    <t>TC-028</t>
  </si>
  <si>
    <t>Assign tags to case</t>
  </si>
  <si>
    <t>Case and tags exist</t>
  </si>
  <si>
    <t>Assign tags</t>
  </si>
  <si>
    <t>1. Authenticate as Analyst
2. Submit tag IDs</t>
  </si>
  <si>
    <t>Case displays updated tag set</t>
  </si>
  <si>
    <t>PUT /api/cases/{caseId}/tags</t>
  </si>
  <si>
    <t>TC-029</t>
  </si>
  <si>
    <t>Analytics</t>
  </si>
  <si>
    <t>Return events over time</t>
  </si>
  <si>
    <t>Event data exists over date range</t>
  </si>
  <si>
    <t>View trends over time</t>
  </si>
  <si>
    <t>1. Authenticate as Viewer
2. Request events-over-time endpoint</t>
  </si>
  <si>
    <t>Time-bucketed counts are returned correctly</t>
  </si>
  <si>
    <t>GET /api/analytics/events-over-time</t>
  </si>
  <si>
    <t>TC-030</t>
  </si>
  <si>
    <t>Return severity distribution</t>
  </si>
  <si>
    <t>Event data exists across severities</t>
  </si>
  <si>
    <t>View severity distribution</t>
  </si>
  <si>
    <t>1. Authenticate as Viewer
2. Request severity-distribution endpoint</t>
  </si>
  <si>
    <t>Grouped counts by severity are returned</t>
  </si>
  <si>
    <t>GET /api/analytics/severity-distribution</t>
  </si>
  <si>
    <t>TC-031</t>
  </si>
  <si>
    <t>Return top components</t>
  </si>
  <si>
    <t>Event data exists across components</t>
  </si>
  <si>
    <t>View top components</t>
  </si>
  <si>
    <t>1. Authenticate as Viewer
2. Request top-components endpoint</t>
  </si>
  <si>
    <t>Ranked component counts are returned</t>
  </si>
  <si>
    <t>GET /api/analytics/top-components</t>
  </si>
  <si>
    <t>TC-032</t>
  </si>
  <si>
    <t>Return recurring patterns</t>
  </si>
  <si>
    <t>Recurring event patterns exist</t>
  </si>
  <si>
    <t>View recurring patterns</t>
  </si>
  <si>
    <t>1. Authenticate as Viewer
2. Request recurring-patterns endpoint</t>
  </si>
  <si>
    <t>Recurring issue groupings are returned</t>
  </si>
  <si>
    <t>GET /api/analytics/recurring-patterns</t>
  </si>
  <si>
    <t>TC-033</t>
  </si>
  <si>
    <t>Audit Logging</t>
  </si>
  <si>
    <t>Allow Admin audit access</t>
  </si>
  <si>
    <t>Audit entries exist</t>
  </si>
  <si>
    <t>Admin views audit log</t>
  </si>
  <si>
    <t>1. Authenticate as Admin
2. Call audit endpoint</t>
  </si>
  <si>
    <t>Audit entries return with actor, action, target, and timestamp</t>
  </si>
  <si>
    <t>GET /api/audit</t>
  </si>
  <si>
    <t>TC-034</t>
  </si>
  <si>
    <t>Block non-admin audit access</t>
  </si>
  <si>
    <t>Analyst attempts to view audit log</t>
  </si>
  <si>
    <t>1. Authenticate as Analyst
2. Call audit endpoint</t>
  </si>
  <si>
    <t>TC-035</t>
  </si>
  <si>
    <t>Record audit entry for case creation</t>
  </si>
  <si>
    <t>Audit system enabled</t>
  </si>
  <si>
    <t>Create case and inspect audit history</t>
  </si>
  <si>
    <t>1. Create a case
2. Query audit log as Admin</t>
  </si>
  <si>
    <t>Audit entry exists for CASE_CREATED action</t>
  </si>
  <si>
    <t>POST /api/cases + GET /api/audit</t>
  </si>
  <si>
    <t>TC-036</t>
  </si>
  <si>
    <t>Record audit entry for event link</t>
  </si>
  <si>
    <t>Case/event link operation available</t>
  </si>
  <si>
    <t>Link event to case and inspect audit history</t>
  </si>
  <si>
    <t>1. Link event to case
2. Query audit log as Admin</t>
  </si>
  <si>
    <t>Audit entry exists for EVENT_LINKED_TO_CASE action</t>
  </si>
  <si>
    <t>POST /api/cases/{caseId}/events + GET /api/audit</t>
  </si>
  <si>
    <t>Signaled — Test Cases Summary</t>
  </si>
  <si>
    <t>Derived from Signaled_Test_Plan_v1_UPDATED.md</t>
  </si>
  <si>
    <t>Metric</t>
  </si>
  <si>
    <t>Value</t>
  </si>
  <si>
    <t>Description</t>
  </si>
  <si>
    <t>Total Test Cases</t>
  </si>
  <si>
    <t>Counts all populated test case IDs</t>
  </si>
  <si>
    <t>Passed</t>
  </si>
  <si>
    <t>User-updated status</t>
  </si>
  <si>
    <t>Failed</t>
  </si>
  <si>
    <t>Blocked</t>
  </si>
  <si>
    <t>Default status</t>
  </si>
  <si>
    <t>Pass Rate</t>
  </si>
  <si>
    <t>Passed / Total</t>
  </si>
  <si>
    <t>Signaled — Test Plan Coverage Matrix</t>
  </si>
  <si>
    <t>Shows how the test cases map to the in-scope areas defined in the Test Plan.</t>
  </si>
  <si>
    <t>Expected Coverage</t>
  </si>
  <si>
    <t>Case Count</t>
  </si>
  <si>
    <t>Yes</t>
  </si>
  <si>
    <t>Valid/invalid CSV/JSON, normalization, rejection handling</t>
  </si>
  <si>
    <t>Listing, filtering, sorting, pagination, detail view</t>
  </si>
  <si>
    <t>Create/update/link/unlink/notes/tags/status</t>
  </si>
  <si>
    <t>Trends, distribution, top components, recurring patterns</t>
  </si>
  <si>
    <t>JWT login, 401/403, role restrictions</t>
  </si>
  <si>
    <t>Audit view access and audit-generating operations</t>
  </si>
  <si>
    <t>Functional Testing</t>
  </si>
  <si>
    <t>Core feature behavior</t>
  </si>
  <si>
    <t>API Testing</t>
  </si>
  <si>
    <t>Endpoint validation and status codes</t>
  </si>
  <si>
    <t>Security Testing</t>
  </si>
  <si>
    <t>RBAC and protected route validation</t>
  </si>
  <si>
    <t>Data Validation Testing</t>
  </si>
  <si>
    <t>Integrity, normalization, relationship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</si>
</sst>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666666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DEDE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showGridLines="0" tabSelected="1" workbookViewId="0">
      <pane ySplit="5" topLeftCell="A6" activePane="bottomLeft" state="frozen"/>
      <selection pane="bottomLeft" activeCell="H8" sqref="H8"/>
    </sheetView>
  </sheetViews>
  <sheetFormatPr defaultRowHeight="15" x14ac:dyDescent="0.25"/>
  <cols>
    <col min="1" max="1" width="14" style="8" customWidth="1"/>
    <col min="2" max="2" width="24" style="8" customWidth="1"/>
    <col min="3" max="3" width="22" style="8" customWidth="1"/>
    <col min="4" max="4" width="14" style="8" customWidth="1"/>
    <col min="5" max="6" width="10" style="8" customWidth="1"/>
    <col min="7" max="7" width="22" style="8" customWidth="1"/>
    <col min="8" max="8" width="28" style="8" customWidth="1"/>
    <col min="9" max="9" width="34" style="8" customWidth="1"/>
    <col min="10" max="10" width="32" style="8" customWidth="1"/>
    <col min="11" max="11" width="28" style="8" customWidth="1"/>
    <col min="12" max="12" width="12" style="8" customWidth="1"/>
    <col min="13" max="13" width="18" style="8" customWidth="1"/>
    <col min="14" max="16384" width="9.140625" style="8"/>
  </cols>
  <sheetData>
    <row r="1" spans="1:13" ht="18.75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9" t="s">
        <v>1</v>
      </c>
      <c r="B2" s="10" t="s">
        <v>2</v>
      </c>
      <c r="K2" s="11" t="s">
        <v>3</v>
      </c>
    </row>
    <row r="3" spans="1:13" x14ac:dyDescent="0.25">
      <c r="K3" s="8" t="s">
        <v>4</v>
      </c>
      <c r="L3" s="8" t="s">
        <v>5</v>
      </c>
    </row>
    <row r="4" spans="1:13" x14ac:dyDescent="0.25">
      <c r="K4" s="8" t="s">
        <v>6</v>
      </c>
      <c r="L4" s="8" t="s">
        <v>7</v>
      </c>
    </row>
    <row r="5" spans="1:13" x14ac:dyDescent="0.25">
      <c r="A5" s="12" t="s">
        <v>8</v>
      </c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</row>
    <row r="6" spans="1:13" ht="48" customHeight="1" x14ac:dyDescent="0.25">
      <c r="A6" s="13" t="s">
        <v>21</v>
      </c>
      <c r="B6" s="13" t="s">
        <v>22</v>
      </c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29</v>
      </c>
      <c r="J6" s="13" t="s">
        <v>30</v>
      </c>
      <c r="K6" s="13" t="s">
        <v>31</v>
      </c>
      <c r="L6" s="14" t="s">
        <v>4</v>
      </c>
      <c r="M6" s="13"/>
    </row>
    <row r="7" spans="1:13" ht="48" customHeight="1" x14ac:dyDescent="0.25">
      <c r="A7" s="13" t="s">
        <v>32</v>
      </c>
      <c r="B7" s="13" t="s">
        <v>22</v>
      </c>
      <c r="C7" s="13" t="s">
        <v>33</v>
      </c>
      <c r="D7" s="13" t="s">
        <v>24</v>
      </c>
      <c r="E7" s="13" t="s">
        <v>25</v>
      </c>
      <c r="F7" s="13" t="s">
        <v>34</v>
      </c>
      <c r="G7" s="13" t="s">
        <v>35</v>
      </c>
      <c r="H7" s="13" t="s">
        <v>36</v>
      </c>
      <c r="I7" s="13" t="s">
        <v>37</v>
      </c>
      <c r="J7" s="13" t="s">
        <v>38</v>
      </c>
      <c r="K7" s="13" t="s">
        <v>31</v>
      </c>
      <c r="L7" s="14" t="s">
        <v>4</v>
      </c>
      <c r="M7" s="13"/>
    </row>
    <row r="8" spans="1:13" ht="48" customHeight="1" x14ac:dyDescent="0.25">
      <c r="A8" s="13" t="s">
        <v>39</v>
      </c>
      <c r="B8" s="13" t="s">
        <v>22</v>
      </c>
      <c r="C8" s="13" t="s">
        <v>40</v>
      </c>
      <c r="D8" s="13" t="s">
        <v>24</v>
      </c>
      <c r="E8" s="13" t="s">
        <v>25</v>
      </c>
      <c r="F8" s="13" t="s">
        <v>41</v>
      </c>
      <c r="G8" s="13" t="s">
        <v>42</v>
      </c>
      <c r="H8" s="13" t="s">
        <v>43</v>
      </c>
      <c r="I8" s="13" t="s">
        <v>44</v>
      </c>
      <c r="J8" s="13" t="s">
        <v>45</v>
      </c>
      <c r="K8" s="13" t="s">
        <v>46</v>
      </c>
      <c r="L8" s="14" t="s">
        <v>4</v>
      </c>
      <c r="M8" s="13"/>
    </row>
    <row r="9" spans="1:13" ht="48" customHeight="1" x14ac:dyDescent="0.25">
      <c r="A9" s="13" t="s">
        <v>47</v>
      </c>
      <c r="B9" s="13" t="s">
        <v>22</v>
      </c>
      <c r="C9" s="13" t="s">
        <v>48</v>
      </c>
      <c r="D9" s="13" t="s">
        <v>24</v>
      </c>
      <c r="E9" s="13" t="s">
        <v>25</v>
      </c>
      <c r="F9" s="13" t="s">
        <v>41</v>
      </c>
      <c r="G9" s="13" t="s">
        <v>49</v>
      </c>
      <c r="H9" s="13" t="s">
        <v>50</v>
      </c>
      <c r="I9" s="13" t="s">
        <v>51</v>
      </c>
      <c r="J9" s="13" t="s">
        <v>52</v>
      </c>
      <c r="K9" s="13" t="s">
        <v>53</v>
      </c>
      <c r="L9" s="14" t="s">
        <v>4</v>
      </c>
      <c r="M9" s="13"/>
    </row>
    <row r="10" spans="1:13" ht="48" customHeight="1" x14ac:dyDescent="0.25">
      <c r="A10" s="13" t="s">
        <v>54</v>
      </c>
      <c r="B10" s="13" t="s">
        <v>22</v>
      </c>
      <c r="C10" s="13" t="s">
        <v>55</v>
      </c>
      <c r="D10" s="13" t="s">
        <v>24</v>
      </c>
      <c r="E10" s="13" t="s">
        <v>25</v>
      </c>
      <c r="F10" s="13" t="s">
        <v>41</v>
      </c>
      <c r="G10" s="13" t="s">
        <v>49</v>
      </c>
      <c r="H10" s="13" t="s">
        <v>56</v>
      </c>
      <c r="I10" s="13" t="s">
        <v>57</v>
      </c>
      <c r="J10" s="13" t="s">
        <v>52</v>
      </c>
      <c r="K10" s="13" t="s">
        <v>58</v>
      </c>
      <c r="L10" s="14" t="s">
        <v>4</v>
      </c>
      <c r="M10" s="13"/>
    </row>
    <row r="11" spans="1:13" ht="48" customHeight="1" x14ac:dyDescent="0.25">
      <c r="A11" s="13" t="s">
        <v>59</v>
      </c>
      <c r="B11" s="13" t="s">
        <v>22</v>
      </c>
      <c r="C11" s="13" t="s">
        <v>60</v>
      </c>
      <c r="D11" s="13" t="s">
        <v>61</v>
      </c>
      <c r="E11" s="13" t="s">
        <v>62</v>
      </c>
      <c r="F11" s="13" t="s">
        <v>34</v>
      </c>
      <c r="G11" s="13" t="s">
        <v>63</v>
      </c>
      <c r="H11" s="13" t="s">
        <v>64</v>
      </c>
      <c r="I11" s="13" t="s">
        <v>65</v>
      </c>
      <c r="J11" s="13" t="s">
        <v>66</v>
      </c>
      <c r="K11" s="13" t="s">
        <v>67</v>
      </c>
      <c r="L11" s="14" t="s">
        <v>4</v>
      </c>
      <c r="M11" s="13"/>
    </row>
    <row r="12" spans="1:13" ht="48" customHeight="1" x14ac:dyDescent="0.25">
      <c r="A12" s="13" t="s">
        <v>68</v>
      </c>
      <c r="B12" s="13" t="s">
        <v>69</v>
      </c>
      <c r="C12" s="13" t="s">
        <v>70</v>
      </c>
      <c r="D12" s="13" t="s">
        <v>71</v>
      </c>
      <c r="E12" s="13" t="s">
        <v>25</v>
      </c>
      <c r="F12" s="13" t="s">
        <v>34</v>
      </c>
      <c r="G12" s="13" t="s">
        <v>72</v>
      </c>
      <c r="H12" s="13" t="s">
        <v>73</v>
      </c>
      <c r="I12" s="13" t="s">
        <v>74</v>
      </c>
      <c r="J12" s="13" t="s">
        <v>75</v>
      </c>
      <c r="K12" s="13" t="s">
        <v>53</v>
      </c>
      <c r="L12" s="14" t="s">
        <v>4</v>
      </c>
      <c r="M12" s="13"/>
    </row>
    <row r="13" spans="1:13" ht="48" customHeight="1" x14ac:dyDescent="0.25">
      <c r="A13" s="13" t="s">
        <v>76</v>
      </c>
      <c r="B13" s="13" t="s">
        <v>69</v>
      </c>
      <c r="C13" s="13" t="s">
        <v>77</v>
      </c>
      <c r="D13" s="13" t="s">
        <v>71</v>
      </c>
      <c r="E13" s="13" t="s">
        <v>25</v>
      </c>
      <c r="F13" s="13" t="s">
        <v>34</v>
      </c>
      <c r="G13" s="13" t="s">
        <v>78</v>
      </c>
      <c r="H13" s="13" t="s">
        <v>79</v>
      </c>
      <c r="I13" s="13" t="s">
        <v>80</v>
      </c>
      <c r="J13" s="13" t="s">
        <v>81</v>
      </c>
      <c r="K13" s="13" t="s">
        <v>53</v>
      </c>
      <c r="L13" s="14" t="s">
        <v>4</v>
      </c>
      <c r="M13" s="13"/>
    </row>
    <row r="14" spans="1:13" ht="48" customHeight="1" x14ac:dyDescent="0.25">
      <c r="A14" s="13" t="s">
        <v>82</v>
      </c>
      <c r="B14" s="13" t="s">
        <v>69</v>
      </c>
      <c r="C14" s="13" t="s">
        <v>83</v>
      </c>
      <c r="D14" s="13" t="s">
        <v>84</v>
      </c>
      <c r="E14" s="13" t="s">
        <v>25</v>
      </c>
      <c r="F14" s="13" t="s">
        <v>34</v>
      </c>
      <c r="G14" s="13" t="s">
        <v>85</v>
      </c>
      <c r="H14" s="13" t="s">
        <v>86</v>
      </c>
      <c r="I14" s="13" t="s">
        <v>87</v>
      </c>
      <c r="J14" s="13" t="s">
        <v>88</v>
      </c>
      <c r="K14" s="13" t="s">
        <v>53</v>
      </c>
      <c r="L14" s="14" t="s">
        <v>4</v>
      </c>
      <c r="M14" s="13"/>
    </row>
    <row r="15" spans="1:13" ht="48" customHeight="1" x14ac:dyDescent="0.25">
      <c r="A15" s="13" t="s">
        <v>89</v>
      </c>
      <c r="B15" s="13" t="s">
        <v>69</v>
      </c>
      <c r="C15" s="13" t="s">
        <v>90</v>
      </c>
      <c r="D15" s="13" t="s">
        <v>84</v>
      </c>
      <c r="E15" s="13" t="s">
        <v>25</v>
      </c>
      <c r="F15" s="13" t="s">
        <v>34</v>
      </c>
      <c r="G15" s="13" t="s">
        <v>91</v>
      </c>
      <c r="H15" s="13" t="s">
        <v>92</v>
      </c>
      <c r="I15" s="13" t="s">
        <v>93</v>
      </c>
      <c r="J15" s="13" t="s">
        <v>94</v>
      </c>
      <c r="K15" s="13" t="s">
        <v>53</v>
      </c>
      <c r="L15" s="14" t="s">
        <v>4</v>
      </c>
      <c r="M15" s="13"/>
    </row>
    <row r="16" spans="1:13" ht="48" customHeight="1" x14ac:dyDescent="0.25">
      <c r="A16" s="13" t="s">
        <v>95</v>
      </c>
      <c r="B16" s="13" t="s">
        <v>69</v>
      </c>
      <c r="C16" s="13" t="s">
        <v>96</v>
      </c>
      <c r="D16" s="13" t="s">
        <v>84</v>
      </c>
      <c r="E16" s="13" t="s">
        <v>62</v>
      </c>
      <c r="F16" s="13" t="s">
        <v>34</v>
      </c>
      <c r="G16" s="13" t="s">
        <v>97</v>
      </c>
      <c r="H16" s="13" t="s">
        <v>98</v>
      </c>
      <c r="I16" s="13" t="s">
        <v>99</v>
      </c>
      <c r="J16" s="13" t="s">
        <v>100</v>
      </c>
      <c r="K16" s="13" t="s">
        <v>53</v>
      </c>
      <c r="L16" s="14" t="s">
        <v>4</v>
      </c>
      <c r="M16" s="13"/>
    </row>
    <row r="17" spans="1:13" ht="48" customHeight="1" x14ac:dyDescent="0.25">
      <c r="A17" s="13" t="s">
        <v>101</v>
      </c>
      <c r="B17" s="13" t="s">
        <v>69</v>
      </c>
      <c r="C17" s="13" t="s">
        <v>102</v>
      </c>
      <c r="D17" s="13" t="s">
        <v>84</v>
      </c>
      <c r="E17" s="13" t="s">
        <v>62</v>
      </c>
      <c r="F17" s="13" t="s">
        <v>34</v>
      </c>
      <c r="G17" s="13" t="s">
        <v>103</v>
      </c>
      <c r="H17" s="13" t="s">
        <v>104</v>
      </c>
      <c r="I17" s="13" t="s">
        <v>99</v>
      </c>
      <c r="J17" s="13" t="s">
        <v>105</v>
      </c>
      <c r="K17" s="13" t="s">
        <v>106</v>
      </c>
      <c r="L17" s="14" t="s">
        <v>4</v>
      </c>
      <c r="M17" s="13"/>
    </row>
    <row r="18" spans="1:13" ht="48" customHeight="1" x14ac:dyDescent="0.25">
      <c r="A18" s="13" t="s">
        <v>107</v>
      </c>
      <c r="B18" s="13" t="s">
        <v>108</v>
      </c>
      <c r="C18" s="13" t="s">
        <v>109</v>
      </c>
      <c r="D18" s="13" t="s">
        <v>71</v>
      </c>
      <c r="E18" s="13" t="s">
        <v>25</v>
      </c>
      <c r="F18" s="13" t="s">
        <v>34</v>
      </c>
      <c r="G18" s="13" t="s">
        <v>110</v>
      </c>
      <c r="H18" s="13" t="s">
        <v>111</v>
      </c>
      <c r="I18" s="13" t="s">
        <v>112</v>
      </c>
      <c r="J18" s="13" t="s">
        <v>113</v>
      </c>
      <c r="K18" s="13" t="s">
        <v>46</v>
      </c>
      <c r="L18" s="14" t="s">
        <v>4</v>
      </c>
      <c r="M18" s="13"/>
    </row>
    <row r="19" spans="1:13" ht="48" customHeight="1" x14ac:dyDescent="0.25">
      <c r="A19" s="13" t="s">
        <v>114</v>
      </c>
      <c r="B19" s="13" t="s">
        <v>108</v>
      </c>
      <c r="C19" s="13" t="s">
        <v>115</v>
      </c>
      <c r="D19" s="13" t="s">
        <v>71</v>
      </c>
      <c r="E19" s="13" t="s">
        <v>25</v>
      </c>
      <c r="F19" s="13" t="s">
        <v>34</v>
      </c>
      <c r="G19" s="13" t="s">
        <v>116</v>
      </c>
      <c r="H19" s="13" t="s">
        <v>117</v>
      </c>
      <c r="I19" s="13" t="s">
        <v>118</v>
      </c>
      <c r="J19" s="13" t="s">
        <v>119</v>
      </c>
      <c r="K19" s="13" t="s">
        <v>46</v>
      </c>
      <c r="L19" s="14" t="s">
        <v>4</v>
      </c>
      <c r="M19" s="13"/>
    </row>
    <row r="20" spans="1:13" ht="48" customHeight="1" x14ac:dyDescent="0.25">
      <c r="A20" s="13" t="s">
        <v>120</v>
      </c>
      <c r="B20" s="13" t="s">
        <v>108</v>
      </c>
      <c r="C20" s="13" t="s">
        <v>121</v>
      </c>
      <c r="D20" s="13" t="s">
        <v>61</v>
      </c>
      <c r="E20" s="13" t="s">
        <v>62</v>
      </c>
      <c r="F20" s="13" t="s">
        <v>34</v>
      </c>
      <c r="G20" s="13" t="s">
        <v>110</v>
      </c>
      <c r="H20" s="13" t="s">
        <v>122</v>
      </c>
      <c r="I20" s="13" t="s">
        <v>123</v>
      </c>
      <c r="J20" s="13" t="s">
        <v>124</v>
      </c>
      <c r="K20" s="13" t="s">
        <v>46</v>
      </c>
      <c r="L20" s="14" t="s">
        <v>4</v>
      </c>
      <c r="M20" s="13"/>
    </row>
    <row r="21" spans="1:13" ht="48" customHeight="1" x14ac:dyDescent="0.25">
      <c r="A21" s="13" t="s">
        <v>125</v>
      </c>
      <c r="B21" s="13" t="s">
        <v>108</v>
      </c>
      <c r="C21" s="13" t="s">
        <v>126</v>
      </c>
      <c r="D21" s="13" t="s">
        <v>61</v>
      </c>
      <c r="E21" s="13" t="s">
        <v>62</v>
      </c>
      <c r="F21" s="13" t="s">
        <v>34</v>
      </c>
      <c r="G21" s="13" t="s">
        <v>127</v>
      </c>
      <c r="H21" s="13" t="s">
        <v>128</v>
      </c>
      <c r="I21" s="13" t="s">
        <v>129</v>
      </c>
      <c r="J21" s="13" t="s">
        <v>130</v>
      </c>
      <c r="K21" s="13" t="s">
        <v>46</v>
      </c>
      <c r="L21" s="14" t="s">
        <v>4</v>
      </c>
      <c r="M21" s="13"/>
    </row>
    <row r="22" spans="1:13" ht="48" customHeight="1" x14ac:dyDescent="0.25">
      <c r="A22" s="13" t="s">
        <v>131</v>
      </c>
      <c r="B22" s="13" t="s">
        <v>108</v>
      </c>
      <c r="C22" s="13" t="s">
        <v>132</v>
      </c>
      <c r="D22" s="13" t="s">
        <v>71</v>
      </c>
      <c r="E22" s="13" t="s">
        <v>62</v>
      </c>
      <c r="F22" s="13" t="s">
        <v>41</v>
      </c>
      <c r="G22" s="13" t="s">
        <v>133</v>
      </c>
      <c r="H22" s="13" t="s">
        <v>134</v>
      </c>
      <c r="I22" s="13" t="s">
        <v>135</v>
      </c>
      <c r="J22" s="13" t="s">
        <v>136</v>
      </c>
      <c r="K22" s="13" t="s">
        <v>137</v>
      </c>
      <c r="L22" s="14" t="s">
        <v>4</v>
      </c>
      <c r="M22" s="13"/>
    </row>
    <row r="23" spans="1:13" ht="48" customHeight="1" x14ac:dyDescent="0.25">
      <c r="A23" s="13" t="s">
        <v>138</v>
      </c>
      <c r="B23" s="13" t="s">
        <v>108</v>
      </c>
      <c r="C23" s="13" t="s">
        <v>139</v>
      </c>
      <c r="D23" s="13" t="s">
        <v>61</v>
      </c>
      <c r="E23" s="13" t="s">
        <v>62</v>
      </c>
      <c r="F23" s="13" t="s">
        <v>34</v>
      </c>
      <c r="G23" s="13" t="s">
        <v>140</v>
      </c>
      <c r="H23" s="13" t="s">
        <v>141</v>
      </c>
      <c r="I23" s="13" t="s">
        <v>142</v>
      </c>
      <c r="J23" s="13" t="s">
        <v>143</v>
      </c>
      <c r="K23" s="13" t="s">
        <v>46</v>
      </c>
      <c r="L23" s="14" t="s">
        <v>4</v>
      </c>
      <c r="M23" s="13"/>
    </row>
    <row r="24" spans="1:13" ht="48" customHeight="1" x14ac:dyDescent="0.25">
      <c r="A24" s="13" t="s">
        <v>144</v>
      </c>
      <c r="B24" s="13" t="s">
        <v>145</v>
      </c>
      <c r="C24" s="13" t="s">
        <v>146</v>
      </c>
      <c r="D24" s="13" t="s">
        <v>71</v>
      </c>
      <c r="E24" s="13" t="s">
        <v>25</v>
      </c>
      <c r="F24" s="13" t="s">
        <v>34</v>
      </c>
      <c r="G24" s="13" t="s">
        <v>63</v>
      </c>
      <c r="H24" s="13" t="s">
        <v>147</v>
      </c>
      <c r="I24" s="13" t="s">
        <v>148</v>
      </c>
      <c r="J24" s="13" t="s">
        <v>149</v>
      </c>
      <c r="K24" s="13" t="s">
        <v>58</v>
      </c>
      <c r="L24" s="14" t="s">
        <v>4</v>
      </c>
      <c r="M24" s="13"/>
    </row>
    <row r="25" spans="1:13" ht="48" customHeight="1" x14ac:dyDescent="0.25">
      <c r="A25" s="13" t="s">
        <v>150</v>
      </c>
      <c r="B25" s="13" t="s">
        <v>145</v>
      </c>
      <c r="C25" s="13" t="s">
        <v>151</v>
      </c>
      <c r="D25" s="13" t="s">
        <v>84</v>
      </c>
      <c r="E25" s="13" t="s">
        <v>25</v>
      </c>
      <c r="F25" s="13" t="s">
        <v>34</v>
      </c>
      <c r="G25" s="13" t="s">
        <v>63</v>
      </c>
      <c r="H25" s="13" t="s">
        <v>152</v>
      </c>
      <c r="I25" s="13" t="s">
        <v>153</v>
      </c>
      <c r="J25" s="13" t="s">
        <v>143</v>
      </c>
      <c r="K25" s="13" t="s">
        <v>58</v>
      </c>
      <c r="L25" s="14" t="s">
        <v>4</v>
      </c>
      <c r="M25" s="13"/>
    </row>
    <row r="26" spans="1:13" ht="48" customHeight="1" x14ac:dyDescent="0.25">
      <c r="A26" s="13" t="s">
        <v>154</v>
      </c>
      <c r="B26" s="13" t="s">
        <v>145</v>
      </c>
      <c r="C26" s="13" t="s">
        <v>155</v>
      </c>
      <c r="D26" s="13" t="s">
        <v>71</v>
      </c>
      <c r="E26" s="13" t="s">
        <v>62</v>
      </c>
      <c r="F26" s="13" t="s">
        <v>34</v>
      </c>
      <c r="G26" s="13" t="s">
        <v>156</v>
      </c>
      <c r="H26" s="13" t="s">
        <v>157</v>
      </c>
      <c r="I26" s="13" t="s">
        <v>158</v>
      </c>
      <c r="J26" s="13" t="s">
        <v>159</v>
      </c>
      <c r="K26" s="13" t="s">
        <v>160</v>
      </c>
      <c r="L26" s="14" t="s">
        <v>4</v>
      </c>
      <c r="M26" s="13"/>
    </row>
    <row r="27" spans="1:13" ht="48" customHeight="1" x14ac:dyDescent="0.25">
      <c r="A27" s="13" t="s">
        <v>161</v>
      </c>
      <c r="B27" s="13" t="s">
        <v>145</v>
      </c>
      <c r="C27" s="13" t="s">
        <v>162</v>
      </c>
      <c r="D27" s="13" t="s">
        <v>71</v>
      </c>
      <c r="E27" s="13" t="s">
        <v>25</v>
      </c>
      <c r="F27" s="13" t="s">
        <v>34</v>
      </c>
      <c r="G27" s="13" t="s">
        <v>163</v>
      </c>
      <c r="H27" s="13" t="s">
        <v>164</v>
      </c>
      <c r="I27" s="13" t="s">
        <v>165</v>
      </c>
      <c r="J27" s="13" t="s">
        <v>166</v>
      </c>
      <c r="K27" s="13" t="s">
        <v>167</v>
      </c>
      <c r="L27" s="14" t="s">
        <v>4</v>
      </c>
      <c r="M27" s="13"/>
    </row>
    <row r="28" spans="1:13" ht="48" customHeight="1" x14ac:dyDescent="0.25">
      <c r="A28" s="13" t="s">
        <v>168</v>
      </c>
      <c r="B28" s="13" t="s">
        <v>145</v>
      </c>
      <c r="C28" s="13" t="s">
        <v>169</v>
      </c>
      <c r="D28" s="13" t="s">
        <v>84</v>
      </c>
      <c r="E28" s="13" t="s">
        <v>62</v>
      </c>
      <c r="F28" s="13" t="s">
        <v>34</v>
      </c>
      <c r="G28" s="13" t="s">
        <v>170</v>
      </c>
      <c r="H28" s="13" t="s">
        <v>171</v>
      </c>
      <c r="I28" s="13" t="s">
        <v>172</v>
      </c>
      <c r="J28" s="13" t="s">
        <v>173</v>
      </c>
      <c r="K28" s="13" t="s">
        <v>167</v>
      </c>
      <c r="L28" s="14" t="s">
        <v>4</v>
      </c>
      <c r="M28" s="13"/>
    </row>
    <row r="29" spans="1:13" ht="48" customHeight="1" x14ac:dyDescent="0.25">
      <c r="A29" s="13" t="s">
        <v>174</v>
      </c>
      <c r="B29" s="13" t="s">
        <v>145</v>
      </c>
      <c r="C29" s="13" t="s">
        <v>175</v>
      </c>
      <c r="D29" s="13" t="s">
        <v>71</v>
      </c>
      <c r="E29" s="13" t="s">
        <v>62</v>
      </c>
      <c r="F29" s="13" t="s">
        <v>34</v>
      </c>
      <c r="G29" s="13" t="s">
        <v>176</v>
      </c>
      <c r="H29" s="13" t="s">
        <v>177</v>
      </c>
      <c r="I29" s="13" t="s">
        <v>178</v>
      </c>
      <c r="J29" s="13" t="s">
        <v>179</v>
      </c>
      <c r="K29" s="13" t="s">
        <v>180</v>
      </c>
      <c r="L29" s="14" t="s">
        <v>4</v>
      </c>
      <c r="M29" s="13"/>
    </row>
    <row r="30" spans="1:13" ht="48" customHeight="1" x14ac:dyDescent="0.25">
      <c r="A30" s="13" t="s">
        <v>181</v>
      </c>
      <c r="B30" s="13" t="s">
        <v>145</v>
      </c>
      <c r="C30" s="13" t="s">
        <v>182</v>
      </c>
      <c r="D30" s="13" t="s">
        <v>71</v>
      </c>
      <c r="E30" s="13" t="s">
        <v>25</v>
      </c>
      <c r="F30" s="13" t="s">
        <v>34</v>
      </c>
      <c r="G30" s="13" t="s">
        <v>183</v>
      </c>
      <c r="H30" s="13" t="s">
        <v>184</v>
      </c>
      <c r="I30" s="13" t="s">
        <v>185</v>
      </c>
      <c r="J30" s="13" t="s">
        <v>186</v>
      </c>
      <c r="K30" s="13" t="s">
        <v>187</v>
      </c>
      <c r="L30" s="14" t="s">
        <v>4</v>
      </c>
      <c r="M30" s="13"/>
    </row>
    <row r="31" spans="1:13" ht="48" customHeight="1" x14ac:dyDescent="0.25">
      <c r="A31" s="13" t="s">
        <v>188</v>
      </c>
      <c r="B31" s="13" t="s">
        <v>145</v>
      </c>
      <c r="C31" s="13" t="s">
        <v>189</v>
      </c>
      <c r="D31" s="13" t="s">
        <v>84</v>
      </c>
      <c r="E31" s="13" t="s">
        <v>62</v>
      </c>
      <c r="F31" s="13" t="s">
        <v>34</v>
      </c>
      <c r="G31" s="13" t="s">
        <v>156</v>
      </c>
      <c r="H31" s="13" t="s">
        <v>190</v>
      </c>
      <c r="I31" s="13" t="s">
        <v>191</v>
      </c>
      <c r="J31" s="13" t="s">
        <v>143</v>
      </c>
      <c r="K31" s="13" t="s">
        <v>187</v>
      </c>
      <c r="L31" s="14" t="s">
        <v>4</v>
      </c>
      <c r="M31" s="13"/>
    </row>
    <row r="32" spans="1:13" ht="48" customHeight="1" x14ac:dyDescent="0.25">
      <c r="A32" s="13" t="s">
        <v>192</v>
      </c>
      <c r="B32" s="13" t="s">
        <v>145</v>
      </c>
      <c r="C32" s="13" t="s">
        <v>193</v>
      </c>
      <c r="D32" s="13" t="s">
        <v>71</v>
      </c>
      <c r="E32" s="13" t="s">
        <v>62</v>
      </c>
      <c r="F32" s="13" t="s">
        <v>34</v>
      </c>
      <c r="G32" s="13" t="s">
        <v>156</v>
      </c>
      <c r="H32" s="13" t="s">
        <v>194</v>
      </c>
      <c r="I32" s="13" t="s">
        <v>195</v>
      </c>
      <c r="J32" s="13" t="s">
        <v>196</v>
      </c>
      <c r="K32" s="13" t="s">
        <v>197</v>
      </c>
      <c r="L32" s="14" t="s">
        <v>4</v>
      </c>
      <c r="M32" s="13"/>
    </row>
    <row r="33" spans="1:13" ht="48" customHeight="1" x14ac:dyDescent="0.25">
      <c r="A33" s="13" t="s">
        <v>198</v>
      </c>
      <c r="B33" s="13" t="s">
        <v>145</v>
      </c>
      <c r="C33" s="13" t="s">
        <v>199</v>
      </c>
      <c r="D33" s="13" t="s">
        <v>71</v>
      </c>
      <c r="E33" s="13" t="s">
        <v>62</v>
      </c>
      <c r="F33" s="13" t="s">
        <v>34</v>
      </c>
      <c r="G33" s="13" t="s">
        <v>200</v>
      </c>
      <c r="H33" s="13" t="s">
        <v>201</v>
      </c>
      <c r="I33" s="13" t="s">
        <v>202</v>
      </c>
      <c r="J33" s="13" t="s">
        <v>203</v>
      </c>
      <c r="K33" s="13" t="s">
        <v>204</v>
      </c>
      <c r="L33" s="14" t="s">
        <v>4</v>
      </c>
      <c r="M33" s="13"/>
    </row>
    <row r="34" spans="1:13" ht="48" customHeight="1" x14ac:dyDescent="0.25">
      <c r="A34" s="13" t="s">
        <v>205</v>
      </c>
      <c r="B34" s="13" t="s">
        <v>206</v>
      </c>
      <c r="C34" s="13" t="s">
        <v>207</v>
      </c>
      <c r="D34" s="13" t="s">
        <v>71</v>
      </c>
      <c r="E34" s="13" t="s">
        <v>25</v>
      </c>
      <c r="F34" s="13" t="s">
        <v>41</v>
      </c>
      <c r="G34" s="13" t="s">
        <v>208</v>
      </c>
      <c r="H34" s="13" t="s">
        <v>209</v>
      </c>
      <c r="I34" s="13" t="s">
        <v>210</v>
      </c>
      <c r="J34" s="13" t="s">
        <v>211</v>
      </c>
      <c r="K34" s="13" t="s">
        <v>212</v>
      </c>
      <c r="L34" s="14" t="s">
        <v>4</v>
      </c>
      <c r="M34" s="13"/>
    </row>
    <row r="35" spans="1:13" ht="48" customHeight="1" x14ac:dyDescent="0.25">
      <c r="A35" s="13" t="s">
        <v>213</v>
      </c>
      <c r="B35" s="13" t="s">
        <v>206</v>
      </c>
      <c r="C35" s="13" t="s">
        <v>214</v>
      </c>
      <c r="D35" s="13" t="s">
        <v>71</v>
      </c>
      <c r="E35" s="13" t="s">
        <v>62</v>
      </c>
      <c r="F35" s="13" t="s">
        <v>41</v>
      </c>
      <c r="G35" s="13" t="s">
        <v>215</v>
      </c>
      <c r="H35" s="13" t="s">
        <v>216</v>
      </c>
      <c r="I35" s="13" t="s">
        <v>217</v>
      </c>
      <c r="J35" s="13" t="s">
        <v>218</v>
      </c>
      <c r="K35" s="13" t="s">
        <v>219</v>
      </c>
      <c r="L35" s="14" t="s">
        <v>4</v>
      </c>
      <c r="M35" s="13"/>
    </row>
    <row r="36" spans="1:13" ht="48" customHeight="1" x14ac:dyDescent="0.25">
      <c r="A36" s="13" t="s">
        <v>220</v>
      </c>
      <c r="B36" s="13" t="s">
        <v>206</v>
      </c>
      <c r="C36" s="13" t="s">
        <v>221</v>
      </c>
      <c r="D36" s="13" t="s">
        <v>71</v>
      </c>
      <c r="E36" s="13" t="s">
        <v>62</v>
      </c>
      <c r="F36" s="13" t="s">
        <v>41</v>
      </c>
      <c r="G36" s="13" t="s">
        <v>222</v>
      </c>
      <c r="H36" s="13" t="s">
        <v>223</v>
      </c>
      <c r="I36" s="13" t="s">
        <v>224</v>
      </c>
      <c r="J36" s="13" t="s">
        <v>225</v>
      </c>
      <c r="K36" s="13" t="s">
        <v>226</v>
      </c>
      <c r="L36" s="14" t="s">
        <v>4</v>
      </c>
      <c r="M36" s="13"/>
    </row>
    <row r="37" spans="1:13" ht="48" customHeight="1" x14ac:dyDescent="0.25">
      <c r="A37" s="13" t="s">
        <v>227</v>
      </c>
      <c r="B37" s="13" t="s">
        <v>206</v>
      </c>
      <c r="C37" s="13" t="s">
        <v>228</v>
      </c>
      <c r="D37" s="13" t="s">
        <v>71</v>
      </c>
      <c r="E37" s="13" t="s">
        <v>62</v>
      </c>
      <c r="F37" s="13" t="s">
        <v>41</v>
      </c>
      <c r="G37" s="13" t="s">
        <v>229</v>
      </c>
      <c r="H37" s="13" t="s">
        <v>230</v>
      </c>
      <c r="I37" s="13" t="s">
        <v>231</v>
      </c>
      <c r="J37" s="13" t="s">
        <v>232</v>
      </c>
      <c r="K37" s="13" t="s">
        <v>233</v>
      </c>
      <c r="L37" s="14" t="s">
        <v>4</v>
      </c>
      <c r="M37" s="13"/>
    </row>
    <row r="38" spans="1:13" ht="48" customHeight="1" x14ac:dyDescent="0.25">
      <c r="A38" s="13" t="s">
        <v>234</v>
      </c>
      <c r="B38" s="13" t="s">
        <v>235</v>
      </c>
      <c r="C38" s="13" t="s">
        <v>236</v>
      </c>
      <c r="D38" s="13" t="s">
        <v>24</v>
      </c>
      <c r="E38" s="13" t="s">
        <v>25</v>
      </c>
      <c r="F38" s="13" t="s">
        <v>26</v>
      </c>
      <c r="G38" s="13" t="s">
        <v>237</v>
      </c>
      <c r="H38" s="13" t="s">
        <v>238</v>
      </c>
      <c r="I38" s="13" t="s">
        <v>239</v>
      </c>
      <c r="J38" s="13" t="s">
        <v>240</v>
      </c>
      <c r="K38" s="13" t="s">
        <v>241</v>
      </c>
      <c r="L38" s="14" t="s">
        <v>4</v>
      </c>
      <c r="M38" s="13"/>
    </row>
    <row r="39" spans="1:13" ht="48" customHeight="1" x14ac:dyDescent="0.25">
      <c r="A39" s="13" t="s">
        <v>242</v>
      </c>
      <c r="B39" s="13" t="s">
        <v>235</v>
      </c>
      <c r="C39" s="13" t="s">
        <v>243</v>
      </c>
      <c r="D39" s="13" t="s">
        <v>24</v>
      </c>
      <c r="E39" s="13" t="s">
        <v>25</v>
      </c>
      <c r="F39" s="13" t="s">
        <v>34</v>
      </c>
      <c r="G39" s="13" t="s">
        <v>63</v>
      </c>
      <c r="H39" s="13" t="s">
        <v>244</v>
      </c>
      <c r="I39" s="13" t="s">
        <v>245</v>
      </c>
      <c r="J39" s="13" t="s">
        <v>52</v>
      </c>
      <c r="K39" s="13" t="s">
        <v>241</v>
      </c>
      <c r="L39" s="14" t="s">
        <v>4</v>
      </c>
      <c r="M39" s="13"/>
    </row>
    <row r="40" spans="1:13" ht="48" customHeight="1" x14ac:dyDescent="0.25">
      <c r="A40" s="13" t="s">
        <v>246</v>
      </c>
      <c r="B40" s="13" t="s">
        <v>235</v>
      </c>
      <c r="C40" s="13" t="s">
        <v>247</v>
      </c>
      <c r="D40" s="13" t="s">
        <v>84</v>
      </c>
      <c r="E40" s="13" t="s">
        <v>25</v>
      </c>
      <c r="F40" s="13" t="s">
        <v>26</v>
      </c>
      <c r="G40" s="13" t="s">
        <v>248</v>
      </c>
      <c r="H40" s="13" t="s">
        <v>249</v>
      </c>
      <c r="I40" s="13" t="s">
        <v>250</v>
      </c>
      <c r="J40" s="13" t="s">
        <v>251</v>
      </c>
      <c r="K40" s="13" t="s">
        <v>252</v>
      </c>
      <c r="L40" s="14" t="s">
        <v>4</v>
      </c>
      <c r="M40" s="13"/>
    </row>
    <row r="41" spans="1:13" ht="48" customHeight="1" x14ac:dyDescent="0.25">
      <c r="A41" s="13" t="s">
        <v>253</v>
      </c>
      <c r="B41" s="13" t="s">
        <v>235</v>
      </c>
      <c r="C41" s="13" t="s">
        <v>254</v>
      </c>
      <c r="D41" s="13" t="s">
        <v>84</v>
      </c>
      <c r="E41" s="13" t="s">
        <v>62</v>
      </c>
      <c r="F41" s="13" t="s">
        <v>26</v>
      </c>
      <c r="G41" s="13" t="s">
        <v>255</v>
      </c>
      <c r="H41" s="13" t="s">
        <v>256</v>
      </c>
      <c r="I41" s="13" t="s">
        <v>257</v>
      </c>
      <c r="J41" s="13" t="s">
        <v>258</v>
      </c>
      <c r="K41" s="13" t="s">
        <v>259</v>
      </c>
      <c r="L41" s="14" t="s">
        <v>4</v>
      </c>
      <c r="M41" s="13"/>
    </row>
  </sheetData>
  <autoFilter ref="A5:M41" xr:uid="{00000000-0009-0000-0000-000000000000}"/>
  <mergeCells count="1">
    <mergeCell ref="A1:M1"/>
  </mergeCells>
  <conditionalFormatting sqref="L6:L41">
    <cfRule type="cellIs" dxfId="3" priority="1" operator="equal">
      <formula>"Not Run"</formula>
    </cfRule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sqref="L6:L41" xr:uid="{00000000-0002-0000-0000-000000000000}">
      <formula1>"Not Run,Pass,Fail,Blocked"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defaultRowHeight="15" x14ac:dyDescent="0.25"/>
  <cols>
    <col min="1" max="1" width="24" customWidth="1"/>
    <col min="2" max="2" width="14" customWidth="1"/>
    <col min="3" max="3" width="40" customWidth="1"/>
  </cols>
  <sheetData>
    <row r="1" spans="1:4" ht="18.75" x14ac:dyDescent="0.3">
      <c r="A1" s="4" t="s">
        <v>260</v>
      </c>
      <c r="B1" s="5"/>
      <c r="C1" s="5"/>
      <c r="D1" s="5"/>
    </row>
    <row r="2" spans="1:4" x14ac:dyDescent="0.25">
      <c r="A2" s="2" t="s">
        <v>261</v>
      </c>
    </row>
    <row r="4" spans="1:4" x14ac:dyDescent="0.25">
      <c r="A4" s="1" t="s">
        <v>262</v>
      </c>
      <c r="B4" s="1" t="s">
        <v>263</v>
      </c>
      <c r="C4" s="1" t="s">
        <v>264</v>
      </c>
    </row>
    <row r="5" spans="1:4" x14ac:dyDescent="0.25">
      <c r="A5" t="s">
        <v>265</v>
      </c>
      <c r="B5">
        <f>COUNTA('Test Cases'!A6:A200)-1</f>
        <v>35</v>
      </c>
      <c r="C5" t="s">
        <v>266</v>
      </c>
    </row>
    <row r="6" spans="1:4" x14ac:dyDescent="0.25">
      <c r="A6" t="s">
        <v>267</v>
      </c>
      <c r="B6">
        <f>COUNTIF('Test Cases'!L6:L200,"Pass")</f>
        <v>0</v>
      </c>
      <c r="C6" t="s">
        <v>268</v>
      </c>
    </row>
    <row r="7" spans="1:4" x14ac:dyDescent="0.25">
      <c r="A7" t="s">
        <v>269</v>
      </c>
      <c r="B7">
        <f>COUNTIF('Test Cases'!L6:L200,"Fail")</f>
        <v>0</v>
      </c>
      <c r="C7" t="s">
        <v>268</v>
      </c>
    </row>
    <row r="8" spans="1:4" x14ac:dyDescent="0.25">
      <c r="A8" t="s">
        <v>270</v>
      </c>
      <c r="B8">
        <f>COUNTIF('Test Cases'!L6:L200,"Blocked")</f>
        <v>0</v>
      </c>
      <c r="C8" t="s">
        <v>268</v>
      </c>
    </row>
    <row r="9" spans="1:4" x14ac:dyDescent="0.25">
      <c r="A9" t="s">
        <v>4</v>
      </c>
      <c r="B9">
        <f>COUNTIF('Test Cases'!L6:L200,"Not Run")</f>
        <v>36</v>
      </c>
      <c r="C9" t="s">
        <v>271</v>
      </c>
    </row>
    <row r="10" spans="1:4" x14ac:dyDescent="0.25">
      <c r="A10" t="s">
        <v>272</v>
      </c>
      <c r="B10" s="3">
        <f>IF(B5=0,0,B6/B5)</f>
        <v>0</v>
      </c>
      <c r="C10" t="s">
        <v>273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8" customWidth="1"/>
    <col min="2" max="2" width="18" customWidth="1"/>
    <col min="3" max="3" width="12" customWidth="1"/>
    <col min="4" max="4" width="52" customWidth="1"/>
  </cols>
  <sheetData>
    <row r="1" spans="1:4" ht="18.75" x14ac:dyDescent="0.3">
      <c r="A1" s="4" t="s">
        <v>274</v>
      </c>
      <c r="B1" s="5"/>
      <c r="C1" s="5"/>
      <c r="D1" s="5"/>
    </row>
    <row r="2" spans="1:4" x14ac:dyDescent="0.25">
      <c r="A2" s="2" t="s">
        <v>275</v>
      </c>
    </row>
    <row r="4" spans="1:4" x14ac:dyDescent="0.25">
      <c r="A4" s="1" t="s">
        <v>9</v>
      </c>
      <c r="B4" s="1" t="s">
        <v>276</v>
      </c>
      <c r="C4" s="1" t="s">
        <v>277</v>
      </c>
      <c r="D4" s="1" t="s">
        <v>20</v>
      </c>
    </row>
    <row r="5" spans="1:4" x14ac:dyDescent="0.25">
      <c r="A5" t="s">
        <v>69</v>
      </c>
      <c r="B5" t="s">
        <v>278</v>
      </c>
      <c r="C5">
        <f>COUNTIF('Test Cases'!B:B,"Event Ingestion")</f>
        <v>6</v>
      </c>
      <c r="D5" t="s">
        <v>279</v>
      </c>
    </row>
    <row r="6" spans="1:4" x14ac:dyDescent="0.25">
      <c r="A6" t="s">
        <v>108</v>
      </c>
      <c r="B6" t="s">
        <v>278</v>
      </c>
      <c r="C6">
        <f>COUNTIF('Test Cases'!B:B,"Event Explorer")</f>
        <v>6</v>
      </c>
      <c r="D6" t="s">
        <v>280</v>
      </c>
    </row>
    <row r="7" spans="1:4" x14ac:dyDescent="0.25">
      <c r="A7" t="s">
        <v>145</v>
      </c>
      <c r="B7" t="s">
        <v>278</v>
      </c>
      <c r="C7">
        <f>COUNTIF('Test Cases'!B:B,"Case Management")</f>
        <v>10</v>
      </c>
      <c r="D7" t="s">
        <v>281</v>
      </c>
    </row>
    <row r="8" spans="1:4" x14ac:dyDescent="0.25">
      <c r="A8" t="s">
        <v>206</v>
      </c>
      <c r="B8" t="s">
        <v>278</v>
      </c>
      <c r="C8">
        <f>COUNTIF('Test Cases'!B:B,"Analytics")</f>
        <v>4</v>
      </c>
      <c r="D8" t="s">
        <v>282</v>
      </c>
    </row>
    <row r="9" spans="1:4" x14ac:dyDescent="0.25">
      <c r="A9" t="s">
        <v>22</v>
      </c>
      <c r="B9" t="s">
        <v>278</v>
      </c>
      <c r="C9">
        <f>COUNTIF('Test Cases'!B:B,"Authentication &amp; Authorization")</f>
        <v>6</v>
      </c>
      <c r="D9" t="s">
        <v>283</v>
      </c>
    </row>
    <row r="10" spans="1:4" x14ac:dyDescent="0.25">
      <c r="A10" t="s">
        <v>235</v>
      </c>
      <c r="B10" t="s">
        <v>278</v>
      </c>
      <c r="C10">
        <f>COUNTIF('Test Cases'!B:B,"Audit Logging")</f>
        <v>4</v>
      </c>
      <c r="D10" t="s">
        <v>284</v>
      </c>
    </row>
    <row r="11" spans="1:4" x14ac:dyDescent="0.25">
      <c r="A11" t="s">
        <v>285</v>
      </c>
      <c r="B11" t="s">
        <v>278</v>
      </c>
      <c r="C11">
        <f>COUNTIF('Test Cases'!D:D,"Functional")</f>
        <v>16</v>
      </c>
      <c r="D11" t="s">
        <v>286</v>
      </c>
    </row>
    <row r="12" spans="1:4" x14ac:dyDescent="0.25">
      <c r="A12" t="s">
        <v>287</v>
      </c>
      <c r="B12" t="s">
        <v>278</v>
      </c>
      <c r="C12">
        <f>COUNTIF('Test Cases'!D:D,"API")</f>
        <v>4</v>
      </c>
      <c r="D12" t="s">
        <v>288</v>
      </c>
    </row>
    <row r="13" spans="1:4" x14ac:dyDescent="0.25">
      <c r="A13" t="s">
        <v>289</v>
      </c>
      <c r="B13" t="s">
        <v>278</v>
      </c>
      <c r="C13">
        <f>COUNTIF('Test Cases'!D:D,"Security")</f>
        <v>7</v>
      </c>
      <c r="D13" t="s">
        <v>290</v>
      </c>
    </row>
    <row r="14" spans="1:4" x14ac:dyDescent="0.25">
      <c r="A14" t="s">
        <v>291</v>
      </c>
      <c r="B14" t="s">
        <v>278</v>
      </c>
      <c r="C14">
        <f>COUNTIF('Test Cases'!D:D,"Data Validation")</f>
        <v>9</v>
      </c>
      <c r="D14" t="s">
        <v>292</v>
      </c>
    </row>
  </sheetData>
  <mergeCells count="1">
    <mergeCell ref="A1:D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Norwood</cp:lastModifiedBy>
  <dcterms:created xsi:type="dcterms:W3CDTF">2026-03-08T01:46:01Z</dcterms:created>
  <dcterms:modified xsi:type="dcterms:W3CDTF">2026-03-08T01:48:34Z</dcterms:modified>
</cp:coreProperties>
</file>